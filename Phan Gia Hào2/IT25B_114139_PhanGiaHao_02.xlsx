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.Tài liệu HTT\.4NAMHOC (tailieu)\Nam1_(tailieu)\Ky1 (tailieu)\Trí tuệ nhân tạo ứng dụng\Phan Gia Hào2\"/>
    </mc:Choice>
  </mc:AlternateContent>
  <xr:revisionPtr revIDLastSave="0" documentId="13_ncr:1_{B5658EC8-2A43-403C-BA73-1E2659AB2D27}" xr6:coauthVersionLast="47" xr6:coauthVersionMax="47" xr10:uidLastSave="{00000000-0000-0000-0000-000000000000}"/>
  <bookViews>
    <workbookView xWindow="480" yWindow="0" windowWidth="22080" windowHeight="12240" xr2:uid="{00000000-000D-0000-FFFF-FFFF00000000}"/>
  </bookViews>
  <sheets>
    <sheet name="Bảng 1" sheetId="1" r:id="rId1"/>
    <sheet name="Bảng 2" sheetId="2" r:id="rId2"/>
    <sheet name="Bảng 3" sheetId="3" r:id="rId3"/>
    <sheet name="KQL" sheetId="5" r:id="rId4"/>
  </sheets>
  <definedNames>
    <definedName name="_diemquydoi">'Bảng 1'!$J$5:$J$8</definedName>
    <definedName name="_xlnm._FilterDatabase" localSheetId="3" hidden="1">KQL!$A$2:$K$8</definedName>
    <definedName name="_ketqua">'Bảng 1'!$K$5:$K$8</definedName>
    <definedName name="_nganhhoc">'Bảng 1'!$D$5:$D$8</definedName>
    <definedName name="_nienkhoa">'Bảng 1'!$D$5:$D$6</definedName>
    <definedName name="_tongket">'Bảng 1'!$I$5:$I$8</definedName>
    <definedName name="_xeploai">'Bảng 1'!$K$5:$K$6</definedName>
    <definedName name="_xepvithu">'Bảng 1'!$J$5:$J$6</definedName>
    <definedName name="h">'Bảng 1'!$E$5:$E$6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" i="1" l="1"/>
  <c r="J5" i="1" s="1"/>
  <c r="J6" i="1"/>
  <c r="J7" i="1"/>
  <c r="J8" i="1"/>
  <c r="I6" i="1"/>
  <c r="I7" i="1"/>
  <c r="I8" i="1"/>
  <c r="I8" i="5"/>
  <c r="J8" i="5" s="1"/>
  <c r="D8" i="5"/>
  <c r="I7" i="5"/>
  <c r="K7" i="5" s="1"/>
  <c r="D7" i="5"/>
  <c r="I6" i="5"/>
  <c r="J6" i="5" s="1"/>
  <c r="D6" i="5"/>
  <c r="I5" i="5"/>
  <c r="J5" i="5" s="1"/>
  <c r="D5" i="5"/>
  <c r="B5" i="3"/>
  <c r="K6" i="1"/>
  <c r="K8" i="1"/>
  <c r="D6" i="1"/>
  <c r="D7" i="1"/>
  <c r="D8" i="1"/>
  <c r="D5" i="1"/>
  <c r="B3" i="3" l="1"/>
  <c r="K7" i="1"/>
  <c r="B2" i="3"/>
  <c r="K5" i="1"/>
  <c r="B4" i="3" s="1"/>
  <c r="K8" i="5"/>
  <c r="K5" i="5"/>
  <c r="K6" i="5"/>
  <c r="J7" i="5"/>
</calcChain>
</file>

<file path=xl/sharedStrings.xml><?xml version="1.0" encoding="utf-8"?>
<sst xmlns="http://schemas.openxmlformats.org/spreadsheetml/2006/main" count="67" uniqueCount="42">
  <si>
    <t>Tên lớp</t>
  </si>
  <si>
    <t>Họ lót</t>
  </si>
  <si>
    <t>Tên</t>
  </si>
  <si>
    <t>Tổng kết</t>
  </si>
  <si>
    <t>Trương Thị</t>
  </si>
  <si>
    <t>Lê Thanh</t>
  </si>
  <si>
    <t>Bình</t>
  </si>
  <si>
    <t>Nguyễn Thị</t>
  </si>
  <si>
    <t>Hương</t>
  </si>
  <si>
    <t>Trần Thị</t>
  </si>
  <si>
    <t>Đào</t>
  </si>
  <si>
    <t>BẢNG 1</t>
  </si>
  <si>
    <t>Trọng số</t>
  </si>
  <si>
    <t>Chuyên cần</t>
  </si>
  <si>
    <t>Kiểm tra TX</t>
  </si>
  <si>
    <t>Kiểm tra GK</t>
  </si>
  <si>
    <t>Thi</t>
  </si>
  <si>
    <t>BẢNG 2</t>
  </si>
  <si>
    <t>Điểm tổng kết cao nhất</t>
  </si>
  <si>
    <t>Điểm tổng kết thấp nhất</t>
  </si>
  <si>
    <t>BẢNG 3</t>
  </si>
  <si>
    <t xml:space="preserve">  </t>
  </si>
  <si>
    <t>Hạnh</t>
  </si>
  <si>
    <t>Điểm quy đổi</t>
  </si>
  <si>
    <t>Kết quả</t>
  </si>
  <si>
    <t>Mã ngành</t>
  </si>
  <si>
    <t>Tên ngành</t>
  </si>
  <si>
    <t>AC</t>
  </si>
  <si>
    <t>IT</t>
  </si>
  <si>
    <t>EL</t>
  </si>
  <si>
    <t>AH</t>
  </si>
  <si>
    <t>Kế toán</t>
  </si>
  <si>
    <t>Công nghệ thông tin</t>
  </si>
  <si>
    <t>Ngôn ngữ anh</t>
  </si>
  <si>
    <t>Quản trị văn phòng</t>
  </si>
  <si>
    <t>Tổng sinh viên đạt</t>
  </si>
  <si>
    <t>Số sinh viên họ Lê</t>
  </si>
  <si>
    <t>Ngành học</t>
  </si>
  <si>
    <t>EL18A1</t>
  </si>
  <si>
    <t>AH18A1</t>
  </si>
  <si>
    <t>IT18A1</t>
  </si>
  <si>
    <t>AC18A1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</si>
</sst>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1F1F1F"/>
      <name val="Times New Roman"/>
      <family val="1"/>
    </font>
    <font>
      <b/>
      <sz val="11"/>
      <color rgb="FF1F1F1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0" borderId="0" xfId="0" applyFont="1"/>
    <xf numFmtId="0" fontId="5" fillId="0" borderId="1" xfId="0" applyFont="1" applyBorder="1"/>
    <xf numFmtId="9" fontId="4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 indent="1" readingOrder="1"/>
    </xf>
    <xf numFmtId="0" fontId="1" fillId="0" borderId="0" xfId="0" applyFont="1" applyBorder="1" applyAlignment="1">
      <alignment horizontal="left" vertical="center" wrapText="1" indent="1" readingOrder="1"/>
    </xf>
    <xf numFmtId="9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workbookViewId="0">
      <selection activeCell="I5" sqref="I5"/>
    </sheetView>
  </sheetViews>
  <sheetFormatPr defaultRowHeight="14.4" x14ac:dyDescent="0.3"/>
  <cols>
    <col min="1" max="1" width="11.33203125" customWidth="1"/>
    <col min="2" max="2" width="13.109375" customWidth="1"/>
    <col min="4" max="4" width="19.21875" bestFit="1" customWidth="1"/>
    <col min="6" max="6" width="9.109375" customWidth="1"/>
    <col min="10" max="10" width="6.21875" customWidth="1"/>
    <col min="11" max="11" width="6.109375" customWidth="1"/>
  </cols>
  <sheetData>
    <row r="1" spans="1:14" x14ac:dyDescent="0.3">
      <c r="A1" s="17" t="s">
        <v>11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"/>
      <c r="M1" s="1"/>
      <c r="N1" s="1"/>
    </row>
    <row r="2" spans="1:14" ht="27.6" x14ac:dyDescent="0.3">
      <c r="A2" s="16" t="s">
        <v>0</v>
      </c>
      <c r="B2" s="16" t="s">
        <v>1</v>
      </c>
      <c r="C2" s="16" t="s">
        <v>2</v>
      </c>
      <c r="D2" s="19" t="s">
        <v>37</v>
      </c>
      <c r="E2" s="8" t="s">
        <v>13</v>
      </c>
      <c r="F2" s="9" t="s">
        <v>14</v>
      </c>
      <c r="G2" s="8" t="s">
        <v>15</v>
      </c>
      <c r="H2" s="8" t="s">
        <v>16</v>
      </c>
      <c r="I2" s="16" t="s">
        <v>3</v>
      </c>
      <c r="J2" s="16" t="s">
        <v>23</v>
      </c>
      <c r="K2" s="16" t="s">
        <v>24</v>
      </c>
      <c r="L2" s="1"/>
      <c r="M2" s="1"/>
      <c r="N2" s="1"/>
    </row>
    <row r="3" spans="1:14" x14ac:dyDescent="0.3">
      <c r="A3" s="16"/>
      <c r="B3" s="16"/>
      <c r="C3" s="16"/>
      <c r="D3" s="20"/>
      <c r="E3" s="16" t="s">
        <v>12</v>
      </c>
      <c r="F3" s="16"/>
      <c r="G3" s="16"/>
      <c r="H3" s="16"/>
      <c r="I3" s="16"/>
      <c r="J3" s="16"/>
      <c r="K3" s="16"/>
      <c r="L3" s="1"/>
      <c r="M3" s="1"/>
      <c r="N3" s="1"/>
    </row>
    <row r="4" spans="1:14" x14ac:dyDescent="0.3">
      <c r="A4" s="16"/>
      <c r="B4" s="16"/>
      <c r="C4" s="16"/>
      <c r="D4" s="21"/>
      <c r="E4" s="3">
        <v>0.1</v>
      </c>
      <c r="F4" s="6">
        <v>0.2</v>
      </c>
      <c r="G4" s="6">
        <v>0.2</v>
      </c>
      <c r="H4" s="3">
        <v>0.5</v>
      </c>
      <c r="I4" s="16"/>
      <c r="J4" s="16"/>
      <c r="K4" s="16"/>
      <c r="L4" s="1"/>
      <c r="M4" s="1"/>
      <c r="N4" s="1"/>
    </row>
    <row r="5" spans="1:14" x14ac:dyDescent="0.3">
      <c r="A5" s="7" t="s">
        <v>40</v>
      </c>
      <c r="B5" s="7" t="s">
        <v>4</v>
      </c>
      <c r="C5" s="7" t="s">
        <v>22</v>
      </c>
      <c r="D5" s="13" t="str">
        <f>VLOOKUP(LEFT(A5,2), 'Bảng 2'!$A$3:$B$6, 2, 0)</f>
        <v>Công nghệ thông tin</v>
      </c>
      <c r="E5" s="7">
        <v>10</v>
      </c>
      <c r="F5" s="7">
        <v>10</v>
      </c>
      <c r="G5" s="7">
        <v>8.5</v>
      </c>
      <c r="H5" s="7">
        <v>9.5</v>
      </c>
      <c r="I5" s="15">
        <f>E5*$E$4 + F5*$F$4 + G5*$G$4 + H5*$H$4</f>
        <v>9.4499999999999993</v>
      </c>
      <c r="J5" s="12" t="str">
        <f>IF(I5&gt;=8.5, "A", IF(I5&gt;=7, "B", IF(I5&gt;=5, "C", IF(I5&gt;=4, "D", "F"))))</f>
        <v>A</v>
      </c>
      <c r="K5" s="14" t="str">
        <f>IF(I5&gt;=4, "Đạt", "Không")</f>
        <v>Đạt</v>
      </c>
      <c r="L5" s="1"/>
      <c r="M5" s="1"/>
      <c r="N5" s="1"/>
    </row>
    <row r="6" spans="1:14" x14ac:dyDescent="0.3">
      <c r="A6" s="7" t="s">
        <v>41</v>
      </c>
      <c r="B6" s="7" t="s">
        <v>5</v>
      </c>
      <c r="C6" s="7" t="s">
        <v>6</v>
      </c>
      <c r="D6" s="13" t="str">
        <f>VLOOKUP(LEFT(A6,2), 'Bảng 2'!$A$3:$B$6, 2, 0)</f>
        <v>Kế toán</v>
      </c>
      <c r="E6" s="7">
        <v>8.5</v>
      </c>
      <c r="F6" s="7">
        <v>7</v>
      </c>
      <c r="G6" s="7">
        <v>8.5</v>
      </c>
      <c r="H6" s="7">
        <v>9.5</v>
      </c>
      <c r="I6" s="15">
        <f t="shared" ref="I6:I8" si="0">E6*10% + F6*20% + G6*20% + H6*50%</f>
        <v>8.6999999999999993</v>
      </c>
      <c r="J6" s="12" t="str">
        <f t="shared" ref="J6:J8" si="1">IF(I6&gt;=8.5, "A", IF(I6&gt;=7, "B", IF(I6&gt;=5, "C", IF(I6&gt;=4, "D", "F"))))</f>
        <v>A</v>
      </c>
      <c r="K6" s="14" t="str">
        <f t="shared" ref="K6:K8" si="2">IF(I6&gt;=4, "Đạt", "Không")</f>
        <v>Đạt</v>
      </c>
      <c r="L6" s="1"/>
      <c r="M6" s="1"/>
      <c r="N6" s="1"/>
    </row>
    <row r="7" spans="1:14" x14ac:dyDescent="0.3">
      <c r="A7" s="12" t="s">
        <v>38</v>
      </c>
      <c r="B7" s="12" t="s">
        <v>7</v>
      </c>
      <c r="C7" s="12" t="s">
        <v>8</v>
      </c>
      <c r="D7" s="13" t="str">
        <f>VLOOKUP(LEFT(A7,2), 'Bảng 2'!$A$3:$B$6, 2, 0)</f>
        <v>Ngôn ngữ anh</v>
      </c>
      <c r="E7" s="12">
        <v>6</v>
      </c>
      <c r="F7" s="12">
        <v>6</v>
      </c>
      <c r="G7" s="12">
        <v>7.5</v>
      </c>
      <c r="H7" s="12">
        <v>6</v>
      </c>
      <c r="I7" s="15">
        <f t="shared" si="0"/>
        <v>6.3000000000000007</v>
      </c>
      <c r="J7" s="12" t="str">
        <f t="shared" si="1"/>
        <v>C</v>
      </c>
      <c r="K7" s="14" t="str">
        <f t="shared" si="2"/>
        <v>Đạt</v>
      </c>
      <c r="L7" s="1"/>
      <c r="M7" s="1"/>
      <c r="N7" s="1"/>
    </row>
    <row r="8" spans="1:14" x14ac:dyDescent="0.3">
      <c r="A8" s="12" t="s">
        <v>39</v>
      </c>
      <c r="B8" s="12" t="s">
        <v>9</v>
      </c>
      <c r="C8" s="12" t="s">
        <v>10</v>
      </c>
      <c r="D8" s="13" t="str">
        <f>VLOOKUP(LEFT(A8,2), 'Bảng 2'!$A$3:$B$6, 2, 0)</f>
        <v>Quản trị văn phòng</v>
      </c>
      <c r="E8" s="12">
        <v>3</v>
      </c>
      <c r="F8" s="12">
        <v>4</v>
      </c>
      <c r="G8" s="12">
        <v>6</v>
      </c>
      <c r="H8" s="12">
        <v>5</v>
      </c>
      <c r="I8" s="15">
        <f t="shared" si="0"/>
        <v>4.8000000000000007</v>
      </c>
      <c r="J8" s="12" t="str">
        <f t="shared" si="1"/>
        <v>D</v>
      </c>
      <c r="K8" s="14" t="str">
        <f t="shared" si="2"/>
        <v>Đạt</v>
      </c>
      <c r="L8" s="1"/>
      <c r="M8" s="1"/>
      <c r="N8" s="1"/>
    </row>
    <row r="9" spans="1:1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8" spans="14:24" x14ac:dyDescent="0.3"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4:24" x14ac:dyDescent="0.3"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4:24" x14ac:dyDescent="0.3"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4:24" x14ac:dyDescent="0.3"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4:24" x14ac:dyDescent="0.3"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</sheetData>
  <mergeCells count="9">
    <mergeCell ref="B2:B4"/>
    <mergeCell ref="A2:A4"/>
    <mergeCell ref="A1:K1"/>
    <mergeCell ref="D2:D4"/>
    <mergeCell ref="K2:K4"/>
    <mergeCell ref="J2:J4"/>
    <mergeCell ref="I2:I4"/>
    <mergeCell ref="E3:H3"/>
    <mergeCell ref="C2:C4"/>
  </mergeCells>
  <conditionalFormatting sqref="I5:I8">
    <cfRule type="cellIs" dxfId="1" priority="2" operator="greaterThan">
      <formula>5</formula>
    </cfRule>
    <cfRule type="cellIs" dxfId="0" priority="1" operator="lessThan">
      <formula>5</formula>
    </cfRule>
  </conditionalFormatting>
  <dataValidations count="1">
    <dataValidation type="whole" allowBlank="1" showInputMessage="1" showErrorMessage="1" errorTitle="Dữ liệu không hợp lệ" error="Nhập dữ liệu từ 0 đến 10" sqref="E5:H8" xr:uid="{9A131127-6EAC-48B0-BA9C-80A6EA188399}">
      <formula1>0</formula1>
      <formula2>10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8A10-D3BF-43F2-A80B-930B8D742CF5}">
  <dimension ref="A1:B6"/>
  <sheetViews>
    <sheetView workbookViewId="0">
      <selection activeCell="A3" sqref="A3"/>
    </sheetView>
  </sheetViews>
  <sheetFormatPr defaultRowHeight="14.4" x14ac:dyDescent="0.3"/>
  <cols>
    <col min="1" max="1" width="8.88671875" customWidth="1"/>
    <col min="2" max="2" width="17.33203125" bestFit="1" customWidth="1"/>
  </cols>
  <sheetData>
    <row r="1" spans="1:2" x14ac:dyDescent="0.3">
      <c r="A1" s="22" t="s">
        <v>17</v>
      </c>
      <c r="B1" s="22"/>
    </row>
    <row r="2" spans="1:2" ht="27.6" x14ac:dyDescent="0.3">
      <c r="A2" s="10" t="s">
        <v>25</v>
      </c>
      <c r="B2" s="10" t="s">
        <v>26</v>
      </c>
    </row>
    <row r="3" spans="1:2" x14ac:dyDescent="0.3">
      <c r="A3" s="7" t="s">
        <v>27</v>
      </c>
      <c r="B3" s="7" t="s">
        <v>31</v>
      </c>
    </row>
    <row r="4" spans="1:2" x14ac:dyDescent="0.3">
      <c r="A4" s="12" t="s">
        <v>28</v>
      </c>
      <c r="B4" s="12" t="s">
        <v>32</v>
      </c>
    </row>
    <row r="5" spans="1:2" x14ac:dyDescent="0.3">
      <c r="A5" s="12" t="s">
        <v>29</v>
      </c>
      <c r="B5" s="12" t="s">
        <v>33</v>
      </c>
    </row>
    <row r="6" spans="1:2" x14ac:dyDescent="0.3">
      <c r="A6" s="12" t="s">
        <v>30</v>
      </c>
      <c r="B6" s="12" t="s">
        <v>34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0051C-D991-4A24-BA4B-0AEC67CFCB3E}">
  <dimension ref="A1:B6"/>
  <sheetViews>
    <sheetView workbookViewId="0">
      <selection activeCell="B3" sqref="B3"/>
    </sheetView>
  </sheetViews>
  <sheetFormatPr defaultRowHeight="14.4" x14ac:dyDescent="0.3"/>
  <cols>
    <col min="1" max="1" width="36.5546875" customWidth="1"/>
    <col min="2" max="2" width="8.88671875" customWidth="1"/>
  </cols>
  <sheetData>
    <row r="1" spans="1:2" x14ac:dyDescent="0.3">
      <c r="A1" s="22" t="s">
        <v>20</v>
      </c>
      <c r="B1" s="22"/>
    </row>
    <row r="2" spans="1:2" ht="24" customHeight="1" x14ac:dyDescent="0.3">
      <c r="A2" s="11" t="s">
        <v>18</v>
      </c>
      <c r="B2" s="2">
        <f>MAX(_tongket)</f>
        <v>9.4499999999999993</v>
      </c>
    </row>
    <row r="3" spans="1:2" ht="23.4" customHeight="1" x14ac:dyDescent="0.3">
      <c r="A3" s="11" t="s">
        <v>19</v>
      </c>
      <c r="B3">
        <f>MIN(_tongket)</f>
        <v>4.8000000000000007</v>
      </c>
    </row>
    <row r="4" spans="1:2" ht="25.2" customHeight="1" x14ac:dyDescent="0.3">
      <c r="A4" s="11" t="s">
        <v>35</v>
      </c>
      <c r="B4" s="2">
        <f>COUNTIF(_ketqua, "Đạt")</f>
        <v>4</v>
      </c>
    </row>
    <row r="5" spans="1:2" ht="28.8" customHeight="1" x14ac:dyDescent="0.3">
      <c r="A5" s="11" t="s">
        <v>36</v>
      </c>
      <c r="B5" s="2">
        <f>COUNTIF('Bảng 1'!B5:B100, "Lê*")</f>
        <v>1</v>
      </c>
    </row>
    <row r="6" spans="1:2" x14ac:dyDescent="0.3">
      <c r="B6" t="s">
        <v>21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5C844-DCC6-43CA-BF69-9F603BD257FD}">
  <sheetPr filterMode="1"/>
  <dimension ref="A1:K8"/>
  <sheetViews>
    <sheetView workbookViewId="0">
      <selection activeCell="K6" sqref="K6"/>
    </sheetView>
  </sheetViews>
  <sheetFormatPr defaultRowHeight="14.4" x14ac:dyDescent="0.3"/>
  <cols>
    <col min="2" max="2" width="10.5546875" bestFit="1" customWidth="1"/>
    <col min="4" max="4" width="17.33203125" bestFit="1" customWidth="1"/>
    <col min="9" max="9" width="7.77734375" customWidth="1"/>
    <col min="10" max="10" width="5.77734375" customWidth="1"/>
    <col min="11" max="11" width="7.5546875" customWidth="1"/>
  </cols>
  <sheetData>
    <row r="1" spans="1:11" x14ac:dyDescent="0.3">
      <c r="A1" s="17" t="s">
        <v>11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7.6" x14ac:dyDescent="0.3">
      <c r="A2" s="16" t="s">
        <v>0</v>
      </c>
      <c r="B2" s="16" t="s">
        <v>1</v>
      </c>
      <c r="C2" s="16" t="s">
        <v>2</v>
      </c>
      <c r="D2" s="19" t="s">
        <v>37</v>
      </c>
      <c r="E2" s="8" t="s">
        <v>13</v>
      </c>
      <c r="F2" s="9" t="s">
        <v>14</v>
      </c>
      <c r="G2" s="8" t="s">
        <v>15</v>
      </c>
      <c r="H2" s="8" t="s">
        <v>16</v>
      </c>
      <c r="I2" s="16" t="s">
        <v>3</v>
      </c>
      <c r="J2" s="16" t="s">
        <v>23</v>
      </c>
      <c r="K2" s="16" t="s">
        <v>24</v>
      </c>
    </row>
    <row r="3" spans="1:11" hidden="1" x14ac:dyDescent="0.3">
      <c r="A3" s="16"/>
      <c r="B3" s="16"/>
      <c r="C3" s="16"/>
      <c r="D3" s="20"/>
      <c r="E3" s="16" t="s">
        <v>12</v>
      </c>
      <c r="F3" s="16"/>
      <c r="G3" s="16"/>
      <c r="H3" s="16"/>
      <c r="I3" s="16"/>
      <c r="J3" s="16"/>
      <c r="K3" s="16"/>
    </row>
    <row r="4" spans="1:11" hidden="1" x14ac:dyDescent="0.3">
      <c r="A4" s="16"/>
      <c r="B4" s="16"/>
      <c r="C4" s="16"/>
      <c r="D4" s="21"/>
      <c r="E4" s="3">
        <v>0.1</v>
      </c>
      <c r="F4" s="6">
        <v>0.2</v>
      </c>
      <c r="G4" s="6">
        <v>0.2</v>
      </c>
      <c r="H4" s="3">
        <v>0.5</v>
      </c>
      <c r="I4" s="16"/>
      <c r="J4" s="16"/>
      <c r="K4" s="16"/>
    </row>
    <row r="5" spans="1:11" ht="22.8" hidden="1" customHeight="1" x14ac:dyDescent="0.3">
      <c r="A5" s="7" t="s">
        <v>40</v>
      </c>
      <c r="B5" s="7" t="s">
        <v>4</v>
      </c>
      <c r="C5" s="7" t="s">
        <v>22</v>
      </c>
      <c r="D5" s="12" t="str">
        <f>VLOOKUP(LEFT(A5,2), 'Bảng 2'!$A$3:$B$6, 2, 0)</f>
        <v>Công nghệ thông tin</v>
      </c>
      <c r="E5" s="7">
        <v>10</v>
      </c>
      <c r="F5" s="7">
        <v>10</v>
      </c>
      <c r="G5" s="7">
        <v>8.5</v>
      </c>
      <c r="H5" s="7">
        <v>9.5</v>
      </c>
      <c r="I5" s="15">
        <f>E5*10% + F5*20% + G5*20% + H5*50%</f>
        <v>9.4499999999999993</v>
      </c>
      <c r="J5" s="12" t="str">
        <f>IF(I5&gt;=8.5, "A", IF(I5&gt;=7, "B", IF(I5&gt;=5, "C", IF(I5&gt;=4, "D", "F"))))</f>
        <v>A</v>
      </c>
      <c r="K5" s="14" t="str">
        <f>IF(I5&gt;=4, "Đạt", "Không")</f>
        <v>Đạt</v>
      </c>
    </row>
    <row r="6" spans="1:11" x14ac:dyDescent="0.3">
      <c r="A6" s="7" t="s">
        <v>41</v>
      </c>
      <c r="B6" s="7" t="s">
        <v>5</v>
      </c>
      <c r="C6" s="7" t="s">
        <v>6</v>
      </c>
      <c r="D6" s="12" t="str">
        <f>VLOOKUP(LEFT(A6,2), 'Bảng 2'!$A$3:$B$6, 2, 0)</f>
        <v>Kế toán</v>
      </c>
      <c r="E6" s="7">
        <v>8.5</v>
      </c>
      <c r="F6" s="7">
        <v>7</v>
      </c>
      <c r="G6" s="7">
        <v>8.5</v>
      </c>
      <c r="H6" s="7">
        <v>9.5</v>
      </c>
      <c r="I6" s="15">
        <f t="shared" ref="I6:I8" si="0">E6*10% + F6*20% + G6*20% + H6*50%</f>
        <v>8.6999999999999993</v>
      </c>
      <c r="J6" s="12" t="str">
        <f t="shared" ref="J6:J8" si="1">IF(I6&gt;=8.5, "A", IF(I6&gt;=7, "B", IF(I6&gt;=5, "C", IF(I6&gt;=4, "D", "F"))))</f>
        <v>A</v>
      </c>
      <c r="K6" s="14" t="str">
        <f t="shared" ref="K6:K8" si="2">IF(I6&gt;=4, "Đạt", "Không")</f>
        <v>Đạt</v>
      </c>
    </row>
    <row r="7" spans="1:11" hidden="1" x14ac:dyDescent="0.3">
      <c r="A7" s="12" t="s">
        <v>38</v>
      </c>
      <c r="B7" s="12" t="s">
        <v>7</v>
      </c>
      <c r="C7" s="12" t="s">
        <v>8</v>
      </c>
      <c r="D7" s="12" t="str">
        <f>VLOOKUP(LEFT(A7,2), 'Bảng 2'!$A$3:$B$6, 2, 0)</f>
        <v>Ngôn ngữ anh</v>
      </c>
      <c r="E7" s="12">
        <v>6</v>
      </c>
      <c r="F7" s="12">
        <v>6</v>
      </c>
      <c r="G7" s="12">
        <v>7.5</v>
      </c>
      <c r="H7" s="12">
        <v>6</v>
      </c>
      <c r="I7" s="15">
        <f t="shared" si="0"/>
        <v>6.3000000000000007</v>
      </c>
      <c r="J7" s="12" t="str">
        <f t="shared" si="1"/>
        <v>C</v>
      </c>
      <c r="K7" s="14" t="str">
        <f t="shared" si="2"/>
        <v>Đạt</v>
      </c>
    </row>
    <row r="8" spans="1:11" hidden="1" x14ac:dyDescent="0.3">
      <c r="A8" s="12" t="s">
        <v>39</v>
      </c>
      <c r="B8" s="12" t="s">
        <v>9</v>
      </c>
      <c r="C8" s="12" t="s">
        <v>10</v>
      </c>
      <c r="D8" s="12" t="str">
        <f>VLOOKUP(LEFT(A8,2), 'Bảng 2'!$A$3:$B$6, 2, 0)</f>
        <v>Quản trị văn phòng</v>
      </c>
      <c r="E8" s="12">
        <v>3</v>
      </c>
      <c r="F8" s="12">
        <v>4</v>
      </c>
      <c r="G8" s="12">
        <v>6</v>
      </c>
      <c r="H8" s="12">
        <v>5</v>
      </c>
      <c r="I8" s="15">
        <f t="shared" si="0"/>
        <v>4.8000000000000007</v>
      </c>
      <c r="J8" s="12" t="str">
        <f t="shared" si="1"/>
        <v>D</v>
      </c>
      <c r="K8" s="14" t="str">
        <f t="shared" si="2"/>
        <v>Đạt</v>
      </c>
    </row>
  </sheetData>
  <autoFilter ref="A2:K8" xr:uid="{7C65C844-DCC6-43CA-BF69-9F603BD257FD}">
    <filterColumn colId="1">
      <customFilters>
        <customFilter val="Lê*"/>
      </customFilters>
    </filterColumn>
    <filterColumn colId="10">
      <customFilters>
        <customFilter operator="notEqual" val=" "/>
      </customFilters>
    </filterColumn>
  </autoFilter>
  <mergeCells count="9">
    <mergeCell ref="A1:K1"/>
    <mergeCell ref="A2:A4"/>
    <mergeCell ref="B2:B4"/>
    <mergeCell ref="C2:C4"/>
    <mergeCell ref="D2:D4"/>
    <mergeCell ref="I2:I4"/>
    <mergeCell ref="J2:J4"/>
    <mergeCell ref="K2:K4"/>
    <mergeCell ref="E3:H3"/>
  </mergeCells>
  <conditionalFormatting sqref="I5:I8">
    <cfRule type="cellIs" dxfId="3" priority="1" operator="lessThan">
      <formula>5</formula>
    </cfRule>
    <cfRule type="cellIs" dxfId="2" priority="2" operator="greaterThan">
      <formula>5</formula>
    </cfRule>
  </conditionalFormatting>
  <dataValidations count="1">
    <dataValidation type="whole" allowBlank="1" showInputMessage="1" showErrorMessage="1" errorTitle="Dữ liệu không hợp lệ" error="Nhập dữ liệu từ 0 đến 10" sqref="E5:H8" xr:uid="{9D2A92CB-2E3F-41C7-9D60-A0AD763853F3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Bảng 1</vt:lpstr>
      <vt:lpstr>Bảng 2</vt:lpstr>
      <vt:lpstr>Bảng 3</vt:lpstr>
      <vt:lpstr>KQL</vt:lpstr>
      <vt:lpstr>_diemquydoi</vt:lpstr>
      <vt:lpstr>_ketqua</vt:lpstr>
      <vt:lpstr>_nganhhoc</vt:lpstr>
      <vt:lpstr>_nienkhoa</vt:lpstr>
      <vt:lpstr>_tongket</vt:lpstr>
      <vt:lpstr>_xeploai</vt:lpstr>
      <vt:lpstr>_xepvithu</vt:lpstr>
      <vt:lpstr>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Hào Gia</dc:creator>
  <cp:lastModifiedBy>Hào Gia</cp:lastModifiedBy>
  <dcterms:created xsi:type="dcterms:W3CDTF">2015-06-05T18:17:20Z</dcterms:created>
  <dcterms:modified xsi:type="dcterms:W3CDTF">2026-02-05T11:31:41Z</dcterms:modified>
</cp:coreProperties>
</file>