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aopr\OneDrive\Desktop\Phan Gia Hào\"/>
    </mc:Choice>
  </mc:AlternateContent>
  <xr:revisionPtr revIDLastSave="0" documentId="13_ncr:1_{48D5644C-CBF5-4ADD-ABDF-C01BEBCCF7C9}" xr6:coauthVersionLast="47" xr6:coauthVersionMax="47" xr10:uidLastSave="{00000000-0000-0000-0000-000000000000}"/>
  <bookViews>
    <workbookView xWindow="3168" yWindow="3168" windowWidth="17280" windowHeight="8880" activeTab="3" xr2:uid="{00000000-000D-0000-FFFF-FFFF00000000}"/>
  </bookViews>
  <sheets>
    <sheet name="Bảng 1" sheetId="1" r:id="rId1"/>
    <sheet name="Bảng 2" sheetId="2" r:id="rId2"/>
    <sheet name="Bảng 3" sheetId="3" r:id="rId3"/>
    <sheet name="KQL" sheetId="4" r:id="rId4"/>
  </sheets>
  <definedNames>
    <definedName name="_xlnm._FilterDatabase" localSheetId="3" hidden="1">KQL!$A$5:$K$8</definedName>
    <definedName name="_nienkhoa" localSheetId="3">KQL!$D$5:$D$8</definedName>
    <definedName name="_nienkhoa">'Bảng 1'!$D$5:$D$8</definedName>
    <definedName name="_tongket" localSheetId="3">KQL!$E$5:$E$8</definedName>
    <definedName name="_tongket">'Bảng 1'!$E$5:$E$8</definedName>
    <definedName name="_xeploai" localSheetId="3">KQL!$K$5:$K$8</definedName>
    <definedName name="_xeploai">'Bảng 1'!$K$5:$K$8</definedName>
    <definedName name="_xepvithu" localSheetId="3">KQL!$J$5:$J$8</definedName>
    <definedName name="_xepvithu">'Bảng 1'!$J$5:$J$8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4" l="1"/>
  <c r="K8" i="4" s="1"/>
  <c r="D8" i="4"/>
  <c r="I7" i="4"/>
  <c r="K7" i="4" s="1"/>
  <c r="D7" i="4"/>
  <c r="I6" i="4"/>
  <c r="K6" i="4" s="1"/>
  <c r="D6" i="4"/>
  <c r="I5" i="4"/>
  <c r="K5" i="4" s="1"/>
  <c r="D5" i="4"/>
  <c r="B5" i="3"/>
  <c r="B4" i="3"/>
  <c r="B3" i="3"/>
  <c r="B2" i="3"/>
  <c r="K5" i="1"/>
  <c r="J5" i="1"/>
  <c r="K8" i="1"/>
  <c r="K7" i="1"/>
  <c r="K6" i="1"/>
  <c r="J8" i="1"/>
  <c r="J7" i="1"/>
  <c r="J6" i="1"/>
  <c r="D8" i="1"/>
  <c r="D6" i="1"/>
  <c r="D7" i="1"/>
  <c r="I6" i="1"/>
  <c r="I7" i="1"/>
  <c r="I8" i="1"/>
  <c r="I5" i="1"/>
  <c r="D5" i="1"/>
  <c r="J6" i="4" l="1"/>
  <c r="J7" i="4"/>
  <c r="J5" i="4"/>
  <c r="J8" i="4"/>
</calcChain>
</file>

<file path=xl/sharedStrings.xml><?xml version="1.0" encoding="utf-8"?>
<sst xmlns="http://schemas.openxmlformats.org/spreadsheetml/2006/main" count="61" uniqueCount="33">
  <si>
    <t>Tên lớp</t>
  </si>
  <si>
    <t>Họ lót</t>
  </si>
  <si>
    <t>Tên</t>
  </si>
  <si>
    <t>Niên khóa</t>
  </si>
  <si>
    <t>Tổng kết</t>
  </si>
  <si>
    <t>Xếp vị thứ</t>
  </si>
  <si>
    <t>Xếp loại</t>
  </si>
  <si>
    <t>DD18A1</t>
  </si>
  <si>
    <t>Trương Thị</t>
  </si>
  <si>
    <t>Hoa</t>
  </si>
  <si>
    <t>DD19A1</t>
  </si>
  <si>
    <t>Lê Thanh</t>
  </si>
  <si>
    <t>Bình</t>
  </si>
  <si>
    <t>Nguyễn Thị</t>
  </si>
  <si>
    <t>Hương</t>
  </si>
  <si>
    <t>Trần Thị</t>
  </si>
  <si>
    <t>Đào</t>
  </si>
  <si>
    <t>BẢNG 1</t>
  </si>
  <si>
    <t>Trọng số</t>
  </si>
  <si>
    <t>Chuyên cần</t>
  </si>
  <si>
    <t>Kiểm tra TX</t>
  </si>
  <si>
    <t>Kiểm tra GK</t>
  </si>
  <si>
    <t>Thi</t>
  </si>
  <si>
    <t>BẢNG 2</t>
  </si>
  <si>
    <t>Mã</t>
  </si>
  <si>
    <t>2018-2022</t>
  </si>
  <si>
    <t>2019-2023</t>
  </si>
  <si>
    <t>Điểm tổng kết cao nhất</t>
  </si>
  <si>
    <t>Điểm tổng kết thấp nhất</t>
  </si>
  <si>
    <t>Số sinh viên có điểm thi &gt;= 5</t>
  </si>
  <si>
    <t>Số sinh viên có tên bắt đầu bằng ký tự H</t>
  </si>
  <si>
    <t>BẢNG 3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</si>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</sst>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1F1F1F"/>
      <name val="Times New Roman"/>
      <family val="1"/>
    </font>
    <font>
      <b/>
      <sz val="11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  <xf numFmtId="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0" fillId="0" borderId="1" xfId="0" applyBorder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workbookViewId="0">
      <selection activeCell="G13" sqref="G12:G13"/>
    </sheetView>
  </sheetViews>
  <sheetFormatPr defaultRowHeight="14.4" x14ac:dyDescent="0.3"/>
  <cols>
    <col min="1" max="1" width="11.33203125" customWidth="1"/>
    <col min="2" max="2" width="13.109375" customWidth="1"/>
    <col min="4" max="4" width="9.6640625" bestFit="1" customWidth="1"/>
    <col min="6" max="6" width="9.109375" customWidth="1"/>
    <col min="11" max="11" width="11.6640625" bestFit="1" customWidth="1"/>
  </cols>
  <sheetData>
    <row r="1" spans="1:14" x14ac:dyDescent="0.3">
      <c r="A1" s="2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1"/>
      <c r="M1" s="1"/>
      <c r="N1" s="1"/>
    </row>
    <row r="2" spans="1:14" ht="27.6" x14ac:dyDescent="0.3">
      <c r="A2" s="5" t="s">
        <v>0</v>
      </c>
      <c r="B2" s="5" t="s">
        <v>1</v>
      </c>
      <c r="C2" s="5" t="s">
        <v>2</v>
      </c>
      <c r="D2" s="5" t="s">
        <v>3</v>
      </c>
      <c r="E2" s="13" t="s">
        <v>19</v>
      </c>
      <c r="F2" s="14" t="s">
        <v>20</v>
      </c>
      <c r="G2" s="13" t="s">
        <v>21</v>
      </c>
      <c r="H2" s="13" t="s">
        <v>22</v>
      </c>
      <c r="I2" s="5" t="s">
        <v>4</v>
      </c>
      <c r="J2" s="5" t="s">
        <v>5</v>
      </c>
      <c r="K2" s="5" t="s">
        <v>6</v>
      </c>
      <c r="L2" s="1"/>
      <c r="M2" s="1"/>
      <c r="N2" s="1"/>
    </row>
    <row r="3" spans="1:14" x14ac:dyDescent="0.3">
      <c r="A3" s="5"/>
      <c r="B3" s="5"/>
      <c r="C3" s="5"/>
      <c r="D3" s="5"/>
      <c r="E3" s="5" t="s">
        <v>18</v>
      </c>
      <c r="F3" s="5"/>
      <c r="G3" s="5"/>
      <c r="H3" s="5"/>
      <c r="I3" s="5"/>
      <c r="J3" s="5"/>
      <c r="K3" s="5"/>
      <c r="L3" s="1"/>
      <c r="M3" s="1"/>
      <c r="N3" s="1"/>
    </row>
    <row r="4" spans="1:14" x14ac:dyDescent="0.3">
      <c r="A4" s="5"/>
      <c r="B4" s="5"/>
      <c r="C4" s="5"/>
      <c r="D4" s="5"/>
      <c r="E4" s="6">
        <v>0.1</v>
      </c>
      <c r="F4" s="9">
        <v>0.25</v>
      </c>
      <c r="G4" s="9">
        <v>0.15</v>
      </c>
      <c r="H4" s="6">
        <v>0.5</v>
      </c>
      <c r="I4" s="5"/>
      <c r="J4" s="5"/>
      <c r="K4" s="5"/>
      <c r="L4" s="1"/>
      <c r="M4" s="1"/>
      <c r="N4" s="1"/>
    </row>
    <row r="5" spans="1:14" x14ac:dyDescent="0.3">
      <c r="A5" s="12" t="s">
        <v>7</v>
      </c>
      <c r="B5" s="12" t="s">
        <v>8</v>
      </c>
      <c r="C5" s="12" t="s">
        <v>9</v>
      </c>
      <c r="D5" s="18" t="str">
        <f>HLOOKUP(VALUE(MID(A5,3,2)),'Bảng 2'!$B$2:$C$3,2,0)</f>
        <v>2018-2022</v>
      </c>
      <c r="E5" s="12">
        <v>10</v>
      </c>
      <c r="F5" s="12">
        <v>10</v>
      </c>
      <c r="G5" s="12">
        <v>8.5</v>
      </c>
      <c r="H5" s="12">
        <v>9.5</v>
      </c>
      <c r="I5" s="11">
        <f>(E5*10%)+(F5*25%)+(G5*15%)+(H5*50%)</f>
        <v>9.5250000000000004</v>
      </c>
      <c r="J5" s="11">
        <f>RANK(I5,$I$5:$I$8)</f>
        <v>1</v>
      </c>
      <c r="K5" s="18" t="str">
        <f>IF(I5&gt;=9,"XUẤT SẮC",IF(I5&gt;=8,"GIỎI",IF(I5&gt;=7,"KHÁ",IF(I5&gt;=5,"TRUNG BÌNH","YẾU"))))</f>
        <v>XUẤT SẮC</v>
      </c>
      <c r="L5" s="1"/>
      <c r="M5" s="1"/>
      <c r="N5" s="1"/>
    </row>
    <row r="6" spans="1:14" x14ac:dyDescent="0.3">
      <c r="A6" s="12" t="s">
        <v>10</v>
      </c>
      <c r="B6" s="12" t="s">
        <v>11</v>
      </c>
      <c r="C6" s="12" t="s">
        <v>12</v>
      </c>
      <c r="D6" s="18" t="str">
        <f>HLOOKUP(VALUE(MID(A6,3,2)),'Bảng 2'!$B$2:$C$3,2,0)</f>
        <v>2019-2023</v>
      </c>
      <c r="E6" s="12">
        <v>8.5</v>
      </c>
      <c r="F6" s="12">
        <v>7</v>
      </c>
      <c r="G6" s="12">
        <v>8.5</v>
      </c>
      <c r="H6" s="12">
        <v>9.5</v>
      </c>
      <c r="I6" s="11">
        <f t="shared" ref="I6:I8" si="0">(E6*10%)+(F6*25%)+(G6*15%)+(H6*50%)</f>
        <v>8.625</v>
      </c>
      <c r="J6" s="11">
        <f t="shared" ref="J6:J8" si="1">RANK(I6,$I$5:$I$8)</f>
        <v>2</v>
      </c>
      <c r="K6" s="18" t="str">
        <f t="shared" ref="K6:K8" si="2">IF(I6&gt;=9,"XUẤT SẮC",IF(I6&gt;=8,"GIỎI",IF(I6&gt;=7,"KHÁ",IF(I6&gt;=5,"TRUNG BÌNH","YẾU"))))</f>
        <v>GIỎI</v>
      </c>
      <c r="L6" s="1"/>
      <c r="M6" s="1"/>
      <c r="N6" s="1"/>
    </row>
    <row r="7" spans="1:14" x14ac:dyDescent="0.3">
      <c r="A7" s="12" t="s">
        <v>10</v>
      </c>
      <c r="B7" s="12" t="s">
        <v>13</v>
      </c>
      <c r="C7" s="12" t="s">
        <v>14</v>
      </c>
      <c r="D7" s="18" t="str">
        <f>HLOOKUP(VALUE(MID(A7,3,2)),'Bảng 2'!$B$2:$C$3,2,0)</f>
        <v>2019-2023</v>
      </c>
      <c r="E7" s="12">
        <v>6</v>
      </c>
      <c r="F7" s="12">
        <v>6</v>
      </c>
      <c r="G7" s="12">
        <v>7.5</v>
      </c>
      <c r="H7" s="12">
        <v>6</v>
      </c>
      <c r="I7" s="11">
        <f t="shared" si="0"/>
        <v>6.2249999999999996</v>
      </c>
      <c r="J7" s="11">
        <f t="shared" si="1"/>
        <v>3</v>
      </c>
      <c r="K7" s="18" t="str">
        <f t="shared" si="2"/>
        <v>TRUNG BÌNH</v>
      </c>
      <c r="L7" s="1"/>
      <c r="M7" s="1"/>
      <c r="N7" s="1"/>
    </row>
    <row r="8" spans="1:14" x14ac:dyDescent="0.3">
      <c r="A8" s="12" t="s">
        <v>7</v>
      </c>
      <c r="B8" s="12" t="s">
        <v>15</v>
      </c>
      <c r="C8" s="12" t="s">
        <v>16</v>
      </c>
      <c r="D8" s="18" t="str">
        <f>HLOOKUP(VALUE(MID(A8,3,2)),'Bảng 2'!$B$2:$C$3,2,0)</f>
        <v>2018-2022</v>
      </c>
      <c r="E8" s="12">
        <v>3</v>
      </c>
      <c r="F8" s="12">
        <v>2</v>
      </c>
      <c r="G8" s="12">
        <v>3</v>
      </c>
      <c r="H8" s="12">
        <v>5</v>
      </c>
      <c r="I8" s="11">
        <f t="shared" si="0"/>
        <v>3.75</v>
      </c>
      <c r="J8" s="11">
        <f t="shared" si="1"/>
        <v>4</v>
      </c>
      <c r="K8" s="18" t="str">
        <f t="shared" si="2"/>
        <v>YẾU</v>
      </c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20" spans="1:24" x14ac:dyDescent="0.3"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3"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x14ac:dyDescent="0.3"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x14ac:dyDescent="0.3"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x14ac:dyDescent="0.3"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</sheetData>
  <mergeCells count="9">
    <mergeCell ref="K2:K4"/>
    <mergeCell ref="J2:J4"/>
    <mergeCell ref="I2:I4"/>
    <mergeCell ref="E3:H3"/>
    <mergeCell ref="C2:C4"/>
    <mergeCell ref="B2:B4"/>
    <mergeCell ref="A2:A4"/>
    <mergeCell ref="A1:K1"/>
    <mergeCell ref="D2:D4"/>
  </mergeCells>
  <conditionalFormatting sqref="I5:I8">
    <cfRule type="cellIs" dxfId="2" priority="2" operator="greaterThan">
      <formula>5</formula>
    </cfRule>
    <cfRule type="cellIs" dxfId="3" priority="1" operator="lessThan">
      <formula>5</formula>
    </cfRule>
  </conditionalFormatting>
  <dataValidations count="1">
    <dataValidation type="whole" allowBlank="1" showInputMessage="1" showErrorMessage="1" errorTitle="Dữ liệu không hợp lệ" error="Nhập dữ liệu từ 0 đến 10" sqref="E5:H8" xr:uid="{9A131127-6EAC-48B0-BA9C-80A6EA188399}">
      <formula1>0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8A10-D3BF-43F2-A80B-930B8D742CF5}">
  <dimension ref="A1:C3"/>
  <sheetViews>
    <sheetView workbookViewId="0">
      <selection activeCell="C3" sqref="C3"/>
    </sheetView>
  </sheetViews>
  <sheetFormatPr defaultRowHeight="14.4" x14ac:dyDescent="0.3"/>
  <cols>
    <col min="1" max="1" width="8.88671875" customWidth="1"/>
    <col min="2" max="2" width="13" customWidth="1"/>
    <col min="3" max="3" width="7.88671875" customWidth="1"/>
  </cols>
  <sheetData>
    <row r="1" spans="1:3" x14ac:dyDescent="0.3">
      <c r="A1" s="15" t="s">
        <v>23</v>
      </c>
      <c r="B1" s="15"/>
      <c r="C1" s="15"/>
    </row>
    <row r="2" spans="1:3" x14ac:dyDescent="0.3">
      <c r="A2" s="16" t="s">
        <v>24</v>
      </c>
      <c r="B2" s="10">
        <v>18</v>
      </c>
      <c r="C2" s="10">
        <v>19</v>
      </c>
    </row>
    <row r="3" spans="1:3" ht="27.6" x14ac:dyDescent="0.3">
      <c r="A3" s="16" t="s">
        <v>3</v>
      </c>
      <c r="B3" s="10" t="s">
        <v>25</v>
      </c>
      <c r="C3" s="10" t="s">
        <v>26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051C-D991-4A24-BA4B-0AEC67CFCB3E}">
  <dimension ref="A1:B6"/>
  <sheetViews>
    <sheetView workbookViewId="0">
      <selection activeCell="B5" sqref="B5"/>
    </sheetView>
  </sheetViews>
  <sheetFormatPr defaultRowHeight="14.4" x14ac:dyDescent="0.3"/>
  <cols>
    <col min="1" max="1" width="36.5546875" customWidth="1"/>
    <col min="2" max="2" width="8.88671875" customWidth="1"/>
  </cols>
  <sheetData>
    <row r="1" spans="1:2" x14ac:dyDescent="0.3">
      <c r="A1" s="15" t="s">
        <v>31</v>
      </c>
      <c r="B1" s="15"/>
    </row>
    <row r="2" spans="1:2" ht="24" customHeight="1" x14ac:dyDescent="0.3">
      <c r="A2" s="17" t="s">
        <v>27</v>
      </c>
      <c r="B2" s="4">
        <f>MAX(_tongket)</f>
        <v>10</v>
      </c>
    </row>
    <row r="3" spans="1:2" ht="23.4" customHeight="1" x14ac:dyDescent="0.3">
      <c r="A3" s="17" t="s">
        <v>28</v>
      </c>
      <c r="B3" s="4">
        <f>MIN(_tongket)</f>
        <v>3</v>
      </c>
    </row>
    <row r="4" spans="1:2" ht="25.2" customHeight="1" x14ac:dyDescent="0.3">
      <c r="A4" s="17" t="s">
        <v>29</v>
      </c>
      <c r="B4" s="4">
        <f>COUNTIF(_tongket, "&gt;=5")</f>
        <v>3</v>
      </c>
    </row>
    <row r="5" spans="1:2" ht="28.8" customHeight="1" x14ac:dyDescent="0.3">
      <c r="A5" s="17" t="s">
        <v>30</v>
      </c>
      <c r="B5" s="4">
        <f>COUNTIF('Bảng 1'!C5:C8,"H*")</f>
        <v>2</v>
      </c>
    </row>
    <row r="6" spans="1:2" x14ac:dyDescent="0.3">
      <c r="B6" t="s">
        <v>32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0A99-F8FA-4A70-BDF3-6A981C7AA9B8}">
  <sheetPr filterMode="1"/>
  <dimension ref="A1:X24"/>
  <sheetViews>
    <sheetView tabSelected="1" workbookViewId="0">
      <selection activeCell="L7" sqref="L7"/>
    </sheetView>
  </sheetViews>
  <sheetFormatPr defaultRowHeight="14.4" x14ac:dyDescent="0.3"/>
  <cols>
    <col min="1" max="1" width="11.33203125" customWidth="1"/>
    <col min="2" max="2" width="13.109375" customWidth="1"/>
    <col min="4" max="4" width="9.6640625" bestFit="1" customWidth="1"/>
    <col min="6" max="6" width="9.109375" customWidth="1"/>
    <col min="11" max="11" width="11.6640625" bestFit="1" customWidth="1"/>
  </cols>
  <sheetData>
    <row r="1" spans="1:14" x14ac:dyDescent="0.3">
      <c r="A1" s="2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1"/>
      <c r="M1" s="1"/>
      <c r="N1" s="1"/>
    </row>
    <row r="2" spans="1:14" ht="27.6" x14ac:dyDescent="0.3">
      <c r="A2" s="5" t="s">
        <v>0</v>
      </c>
      <c r="B2" s="5" t="s">
        <v>1</v>
      </c>
      <c r="C2" s="5" t="s">
        <v>2</v>
      </c>
      <c r="D2" s="5" t="s">
        <v>3</v>
      </c>
      <c r="E2" s="13" t="s">
        <v>19</v>
      </c>
      <c r="F2" s="14" t="s">
        <v>20</v>
      </c>
      <c r="G2" s="13" t="s">
        <v>21</v>
      </c>
      <c r="H2" s="13" t="s">
        <v>22</v>
      </c>
      <c r="I2" s="5" t="s">
        <v>4</v>
      </c>
      <c r="J2" s="5" t="s">
        <v>5</v>
      </c>
      <c r="K2" s="5" t="s">
        <v>6</v>
      </c>
      <c r="L2" s="1"/>
      <c r="M2" s="1"/>
      <c r="N2" s="1"/>
    </row>
    <row r="3" spans="1:14" x14ac:dyDescent="0.3">
      <c r="A3" s="5"/>
      <c r="B3" s="5"/>
      <c r="C3" s="5"/>
      <c r="D3" s="5"/>
      <c r="E3" s="5" t="s">
        <v>18</v>
      </c>
      <c r="F3" s="5"/>
      <c r="G3" s="5"/>
      <c r="H3" s="5"/>
      <c r="I3" s="5"/>
      <c r="J3" s="5"/>
      <c r="K3" s="5"/>
      <c r="L3" s="1"/>
      <c r="M3" s="1"/>
      <c r="N3" s="1"/>
    </row>
    <row r="4" spans="1:14" x14ac:dyDescent="0.3">
      <c r="A4" s="5"/>
      <c r="B4" s="5"/>
      <c r="C4" s="5"/>
      <c r="D4" s="5"/>
      <c r="E4" s="6">
        <v>0.1</v>
      </c>
      <c r="F4" s="9">
        <v>0.25</v>
      </c>
      <c r="G4" s="9">
        <v>0.15</v>
      </c>
      <c r="H4" s="6">
        <v>0.5</v>
      </c>
      <c r="I4" s="5"/>
      <c r="J4" s="5"/>
      <c r="K4" s="5"/>
      <c r="L4" s="1"/>
      <c r="M4" s="1"/>
      <c r="N4" s="1"/>
    </row>
    <row r="5" spans="1:14" x14ac:dyDescent="0.3">
      <c r="A5" s="12" t="s">
        <v>7</v>
      </c>
      <c r="B5" s="12" t="s">
        <v>8</v>
      </c>
      <c r="C5" s="12" t="s">
        <v>9</v>
      </c>
      <c r="D5" s="18" t="str">
        <f>HLOOKUP(VALUE(MID(A5,3,2)),'Bảng 2'!$B$2:$C$3,2,0)</f>
        <v>2018-2022</v>
      </c>
      <c r="E5" s="12">
        <v>10</v>
      </c>
      <c r="F5" s="12">
        <v>10</v>
      </c>
      <c r="G5" s="12">
        <v>8.5</v>
      </c>
      <c r="H5" s="12">
        <v>9.5</v>
      </c>
      <c r="I5" s="11">
        <f>(E5*10%)+(F5*25%)+(G5*15%)+(H5*50%)</f>
        <v>9.5250000000000004</v>
      </c>
      <c r="J5" s="11">
        <f>RANK(I5,$I$5:$I$8)</f>
        <v>1</v>
      </c>
      <c r="K5" s="18" t="str">
        <f>IF(I5&gt;=9,"XUẤT SẮC",IF(I5&gt;=8,"GIỎI",IF(I5&gt;=7,"KHÁ",IF(I5&gt;=5,"TRUNG BÌNH","YẾU"))))</f>
        <v>XUẤT SẮC</v>
      </c>
      <c r="L5" s="1"/>
      <c r="M5" s="1"/>
      <c r="N5" s="1"/>
    </row>
    <row r="6" spans="1:14" hidden="1" x14ac:dyDescent="0.3">
      <c r="A6" s="12" t="s">
        <v>10</v>
      </c>
      <c r="B6" s="12" t="s">
        <v>11</v>
      </c>
      <c r="C6" s="12" t="s">
        <v>12</v>
      </c>
      <c r="D6" s="18" t="str">
        <f>HLOOKUP(VALUE(MID(A6,3,2)),'Bảng 2'!$B$2:$C$3,2,0)</f>
        <v>2019-2023</v>
      </c>
      <c r="E6" s="12">
        <v>8.5</v>
      </c>
      <c r="F6" s="12">
        <v>7</v>
      </c>
      <c r="G6" s="12">
        <v>8.5</v>
      </c>
      <c r="H6" s="12">
        <v>9.5</v>
      </c>
      <c r="I6" s="11">
        <f t="shared" ref="I6:I8" si="0">(E6*10%)+(F6*25%)+(G6*15%)+(H6*50%)</f>
        <v>8.625</v>
      </c>
      <c r="J6" s="11">
        <f t="shared" ref="J6:J8" si="1">RANK(I6,$I$5:$I$8)</f>
        <v>2</v>
      </c>
      <c r="K6" s="18" t="str">
        <f t="shared" ref="K6:K8" si="2">IF(I6&gt;=9,"XUẤT SẮC",IF(I6&gt;=8,"GIỎI",IF(I6&gt;=7,"KHÁ",IF(I6&gt;=5,"TRUNG BÌNH","YẾU"))))</f>
        <v>GIỎI</v>
      </c>
      <c r="L6" s="1"/>
      <c r="M6" s="1"/>
      <c r="N6" s="1"/>
    </row>
    <row r="7" spans="1:14" x14ac:dyDescent="0.3">
      <c r="A7" s="12" t="s">
        <v>10</v>
      </c>
      <c r="B7" s="12" t="s">
        <v>13</v>
      </c>
      <c r="C7" s="12" t="s">
        <v>14</v>
      </c>
      <c r="D7" s="18" t="str">
        <f>HLOOKUP(VALUE(MID(A7,3,2)),'Bảng 2'!$B$2:$C$3,2,0)</f>
        <v>2019-2023</v>
      </c>
      <c r="E7" s="12">
        <v>6</v>
      </c>
      <c r="F7" s="12">
        <v>6</v>
      </c>
      <c r="G7" s="12">
        <v>7.5</v>
      </c>
      <c r="H7" s="12">
        <v>6</v>
      </c>
      <c r="I7" s="11">
        <f t="shared" si="0"/>
        <v>6.2249999999999996</v>
      </c>
      <c r="J7" s="11">
        <f t="shared" si="1"/>
        <v>3</v>
      </c>
      <c r="K7" s="18" t="str">
        <f t="shared" si="2"/>
        <v>TRUNG BÌNH</v>
      </c>
      <c r="L7" s="1"/>
      <c r="M7" s="1"/>
      <c r="N7" s="1"/>
    </row>
    <row r="8" spans="1:14" hidden="1" x14ac:dyDescent="0.3">
      <c r="A8" s="12" t="s">
        <v>7</v>
      </c>
      <c r="B8" s="12" t="s">
        <v>15</v>
      </c>
      <c r="C8" s="12" t="s">
        <v>16</v>
      </c>
      <c r="D8" s="18" t="str">
        <f>HLOOKUP(VALUE(MID(A8,3,2)),'Bảng 2'!$B$2:$C$3,2,0)</f>
        <v>2018-2022</v>
      </c>
      <c r="E8" s="12">
        <v>3</v>
      </c>
      <c r="F8" s="12">
        <v>2</v>
      </c>
      <c r="G8" s="12">
        <v>3</v>
      </c>
      <c r="H8" s="12">
        <v>5</v>
      </c>
      <c r="I8" s="11">
        <f t="shared" si="0"/>
        <v>3.75</v>
      </c>
      <c r="J8" s="11">
        <f t="shared" si="1"/>
        <v>4</v>
      </c>
      <c r="K8" s="18" t="str">
        <f t="shared" si="2"/>
        <v>YẾU</v>
      </c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20" spans="1:24" x14ac:dyDescent="0.3"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3"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x14ac:dyDescent="0.3"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x14ac:dyDescent="0.3"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x14ac:dyDescent="0.3"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</sheetData>
  <autoFilter ref="A5:K8" xr:uid="{C0F70A99-F8FA-4A70-BDF3-6A981C7AA9B8}">
    <filterColumn colId="2">
      <customFilters>
        <customFilter val="H*"/>
      </customFilters>
    </filterColumn>
    <filterColumn colId="8">
      <customFilters>
        <customFilter operator="greaterThanOrEqual" val="5"/>
      </customFilters>
    </filterColumn>
  </autoFilter>
  <mergeCells count="9">
    <mergeCell ref="A1:K1"/>
    <mergeCell ref="A2:A4"/>
    <mergeCell ref="B2:B4"/>
    <mergeCell ref="C2:C4"/>
    <mergeCell ref="D2:D4"/>
    <mergeCell ref="I2:I4"/>
    <mergeCell ref="J2:J4"/>
    <mergeCell ref="K2:K4"/>
    <mergeCell ref="E3:H3"/>
  </mergeCells>
  <conditionalFormatting sqref="I5:I8">
    <cfRule type="cellIs" dxfId="0" priority="1" operator="lessThan">
      <formula>5</formula>
    </cfRule>
    <cfRule type="cellIs" dxfId="1" priority="2" operator="greaterThan">
      <formula>5</formula>
    </cfRule>
  </conditionalFormatting>
  <dataValidations count="1">
    <dataValidation type="whole" allowBlank="1" showInputMessage="1" showErrorMessage="1" errorTitle="Dữ liệu không hợp lệ" error="Nhập dữ liệu từ 0 đến 10" sqref="E5:H8" xr:uid="{BE4B054F-948B-46AE-8EB2-65D4D2B2B70D}">
      <formula1>0</formula1>
      <formula2>10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1</vt:lpstr>
      <vt:lpstr>Bảng 2</vt:lpstr>
      <vt:lpstr>Bảng 3</vt:lpstr>
      <vt:lpstr>KQL</vt:lpstr>
      <vt:lpstr>KQL!_nienkhoa</vt:lpstr>
      <vt:lpstr>_nienkhoa</vt:lpstr>
      <vt:lpstr>KQL!_tongket</vt:lpstr>
      <vt:lpstr>_tongket</vt:lpstr>
      <vt:lpstr>KQL!_xeploai</vt:lpstr>
      <vt:lpstr>_xeploai</vt:lpstr>
      <vt:lpstr>KQL!_xepvithu</vt:lpstr>
      <vt:lpstr>_xepvithu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Hào Gia</dc:creator>
  <cp:lastModifiedBy>Hào Gia</cp:lastModifiedBy>
  <dcterms:created xsi:type="dcterms:W3CDTF">2015-06-05T18:17:20Z</dcterms:created>
  <dcterms:modified xsi:type="dcterms:W3CDTF">2026-01-31T08:06:34Z</dcterms:modified>
</cp:coreProperties>
</file>